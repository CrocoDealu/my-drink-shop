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filterPrivacy="1" defaultThemeVersion="124226"/>
  <xr:revisionPtr revIDLastSave="0" documentId="13_ncr:1_{194798F7-59AB-CA4B-8903-2D8C3AB59A3B}" xr6:coauthVersionLast="47" xr6:coauthVersionMax="47" xr10:uidLastSave="{00000000-0000-0000-0000-000000000000}"/>
  <bookViews>
    <workbookView xWindow="0" yWindow="0" windowWidth="35840" windowHeight="22400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" i="10" l="1"/>
  <c r="B16" i="4"/>
</calcChain>
</file>

<file path=xl/sharedStrings.xml><?xml version="1.0" encoding="utf-8"?>
<sst xmlns="http://schemas.openxmlformats.org/spreadsheetml/2006/main" count="181" uniqueCount="126">
  <si>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</si>
  <si>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</si>
  <si>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</si>
  <si>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</si>
  <si>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</si>
  <si>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</si>
  <si>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</si>
  <si>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</si>
  <si>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</si>
  <si>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</si>
  <si>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</si>
  <si>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</si>
  <si>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</si>
  <si>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</si>
  <si>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</si>
  <si>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</si>
  <si>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</si>
  <si>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</si>
  <si>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</si>
  <si>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</si>
  <si>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CC2 = Edges - Nodes + 2 =</t>
  </si>
  <si>
    <t>CC3 = No. of Conditions + 1 =</t>
  </si>
  <si>
    <t>Predicate+1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</si>
  <si>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</si>
  <si>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</si>
  <si>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</si>
  <si>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</si>
  <si>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</si>
  <si>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</si>
  <si>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</si>
  <si>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</si>
  <si>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</si>
  <si>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</si>
  <si>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</si>
  <si>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</si>
  <si>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</si>
  <si>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</si>
  <si>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</si>
  <si>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</si>
  <si>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</si>
  <si>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</si>
  <si>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</si>
  <si>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</si>
  <si>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</si>
  <si>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</si>
  <si>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</si>
  <si>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</si>
  <si>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</si>
  <si>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</si>
  <si>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</si>
  <si>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</si>
  <si>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</si>
  <si>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</si>
  <si>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</si>
  <si>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</si>
  <si>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</si>
  <si>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</si>
  <si>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</si>
  <si>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</si>
  <si>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</si>
  <si>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</si>
  <si>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</si>
  <si>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</si>
  <si>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</si>
  <si>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</si>
  <si>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</si>
  <si>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</si>
  <si>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</si>
  <si>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</si>
  <si>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</si>
  <si>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</si>
  <si>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</si>
  <si>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</si>
  <si>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Un owner doreşte să îşi dezvolte un program pentru gestionarea comenzilor din magazinul sau de bauturi. Programul va permite următoarele operaţii:</t>
  </si>
  <si>
    <t>Mitrea Ioan David</t>
  </si>
  <si>
    <t>Marcu Emanuel</t>
  </si>
  <si>
    <t>Mihali Gabriel</t>
  </si>
  <si>
    <t>F02 - adaugarea unui produs pe comanda in MyDrinkShop</t>
  </si>
  <si>
    <t>1. Evidenţa bauturilor din colecţia personală</t>
  </si>
  <si>
    <t>Req02_L10</t>
  </si>
  <si>
    <t>Req02_L12</t>
  </si>
  <si>
    <t>Req02_L13</t>
  </si>
  <si>
    <t>Req02_L15</t>
  </si>
  <si>
    <t>Req02_L16</t>
  </si>
  <si>
    <t>Req02_L19</t>
  </si>
  <si>
    <t>Req02_L18</t>
  </si>
  <si>
    <t>Req02_L20</t>
  </si>
  <si>
    <t>F02_P04</t>
  </si>
  <si>
    <t>(ID, Qty)</t>
  </si>
  <si>
    <t>Expected</t>
  </si>
  <si>
    <t>ID=1, Qty=5</t>
  </si>
  <si>
    <t>ID=0, Qty=2</t>
  </si>
  <si>
    <t>ID=2, Qty=-1</t>
  </si>
  <si>
    <t>ID=-3, Qty=0</t>
  </si>
  <si>
    <t>F02_TC03</t>
  </si>
  <si>
    <t>F02_TC04</t>
  </si>
  <si>
    <t>Executie cu succes</t>
  </si>
  <si>
    <t>ValidationException ("Product ID invalid!\n")</t>
  </si>
  <si>
    <t>ValidationException ("Cantitate invalida!\n")</t>
  </si>
  <si>
    <t>ValidationException (ambele mesaje de eroare)</t>
  </si>
  <si>
    <t>F02_Cond01 id &lt;= 0</t>
  </si>
  <si>
    <t>F02_Cond02 quantiy &lt;= 0</t>
  </si>
  <si>
    <t>F02_Cond03 !errors.isEmpty()</t>
  </si>
  <si>
    <t>X</t>
  </si>
  <si>
    <t>productId</t>
  </si>
  <si>
    <t>quantity</t>
  </si>
  <si>
    <t>ValidationException("Product ID invalid!\n")</t>
  </si>
  <si>
    <t>ValidationException("Cantitate invalida!\n")</t>
  </si>
  <si>
    <t>ValidationException("Product ID invalid!\n" + "Cantitate invalida!\n")</t>
  </si>
  <si>
    <t/>
  </si>
  <si>
    <t>StringBuilder errors = new StringBuilder();</t>
  </si>
  <si>
    <t>Map&lt;Boolean, String&gt; checks = Map.of(</t>
  </si>
  <si>
    <t xml:space="preserve">    item.getProduct().getId() &lt;= 0, "Product ID invalid!\n",</t>
  </si>
  <si>
    <t xml:space="preserve">    item.getQuantity() &lt;= 0, "Cantitate invalida!\n");</t>
  </si>
  <si>
    <t>for (Map.Entry&lt;Boolean, String&gt; check : checks.entrySet()) {</t>
  </si>
  <si>
    <t>if (check.getKey()) {</t>
  </si>
  <si>
    <t>errors.append(check.getValue()); } }</t>
  </si>
  <si>
    <t>if (!errors.isEmpty())\</t>
  </si>
  <si>
    <t>Req02_L21</t>
  </si>
  <si>
    <t>Req02_L22</t>
  </si>
  <si>
    <t>throw new ValidationException(errors.toString());</t>
  </si>
  <si>
    <t>// Iesire normala</t>
  </si>
  <si>
    <t>1, 2, 3, 5, 2, 3, 5, 2, 7, 9</t>
  </si>
  <si>
    <t>1, 2, 3, 4, 5, 2, 3, 5, 2, 7, 8, 9</t>
  </si>
  <si>
    <t>1, 2, 3, 5, 2, 3, 5, 6, 2, 7, 8, 9</t>
  </si>
  <si>
    <t>1, 2, 3, 4, 5, 2, 3, 5, 6, 2, 7, 8, 9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</si>
</sst>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 (Body)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3" xfId="0" applyFont="1" applyBorder="1"/>
    <xf numFmtId="0" fontId="6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/>
    <xf numFmtId="0" fontId="12" fillId="3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3" fillId="0" borderId="8" xfId="0" applyFont="1" applyBorder="1" applyAlignment="1">
      <alignment horizontal="left" vertical="center" wrapText="1"/>
    </xf>
    <xf numFmtId="0" fontId="13" fillId="4" borderId="8" xfId="0" applyFont="1" applyFill="1" applyBorder="1" applyAlignment="1">
      <alignment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/>
    <xf numFmtId="0" fontId="0" fillId="0" borderId="8" xfId="0" applyBorder="1"/>
    <xf numFmtId="0" fontId="6" fillId="8" borderId="0" xfId="0" applyFont="1" applyFill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/>
    <xf numFmtId="0" fontId="16" fillId="0" borderId="0" xfId="0" applyFont="1"/>
    <xf numFmtId="0" fontId="1" fillId="0" borderId="0" xfId="0" applyFont="1"/>
    <xf numFmtId="0" fontId="18" fillId="0" borderId="8" xfId="0" applyFont="1" applyBorder="1" applyAlignment="1">
      <alignment vertical="center" wrapText="1"/>
    </xf>
    <xf numFmtId="0" fontId="18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10" fillId="2" borderId="4" xfId="0" applyFont="1" applyFill="1" applyBorder="1"/>
    <xf numFmtId="0" fontId="9" fillId="2" borderId="5" xfId="0" applyFont="1" applyFill="1" applyBorder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6" fillId="8" borderId="11" xfId="0" applyFont="1" applyFill="1" applyBorder="1" applyAlignment="1">
      <alignment horizontal="center"/>
    </xf>
    <xf numFmtId="0" fontId="6" fillId="8" borderId="13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6" fillId="0" borderId="8" xfId="0" applyFont="1" applyBorder="1" applyAlignment="1">
      <alignment horizontal="left" vertic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9" borderId="8" xfId="0" applyFont="1" applyFill="1" applyBorder="1" applyAlignment="1">
      <alignment horizontal="center"/>
    </xf>
    <xf numFmtId="0" fontId="12" fillId="0" borderId="20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10" borderId="25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11" borderId="29" xfId="0" applyFont="1" applyFill="1" applyBorder="1" applyAlignment="1">
      <alignment horizontal="center" vertical="center"/>
    </xf>
    <xf numFmtId="0" fontId="6" fillId="11" borderId="30" xfId="0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11" borderId="32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12" borderId="34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11" borderId="11" xfId="0" applyFont="1" applyFill="1" applyBorder="1" applyAlignment="1">
      <alignment horizontal="center"/>
    </xf>
    <xf numFmtId="0" fontId="6" fillId="11" borderId="13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630225</xdr:colOff>
      <xdr:row>8</xdr:row>
      <xdr:rowOff>171879</xdr:rowOff>
    </xdr:from>
    <xdr:to>
      <xdr:col>15</xdr:col>
      <xdr:colOff>257819</xdr:colOff>
      <xdr:row>40</xdr:row>
      <xdr:rowOff>155306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8A5C19F-EEDE-9F41-8E61-88020E33A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1202" y="1699699"/>
          <a:ext cx="4974963" cy="6094705"/>
        </a:xfrm>
        <a:prstGeom prst="rect">
          <a:avLst/>
        </a:prstGeom>
      </xdr:spPr>
    </xdr:pic>
    <xdr:clientData/>
  </xdr:twoCellAnchor>
  <xdr:twoCellAnchor editAs="oneCell">
    <xdr:from>
      <xdr:col>0</xdr:col>
      <xdr:colOff>592030</xdr:colOff>
      <xdr:row>19</xdr:row>
      <xdr:rowOff>66843</xdr:rowOff>
    </xdr:from>
    <xdr:to>
      <xdr:col>5</xdr:col>
      <xdr:colOff>572933</xdr:colOff>
      <xdr:row>35</xdr:row>
      <xdr:rowOff>45357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9F814C-5753-AD47-8A87-6C2E08A52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2030" y="3695414"/>
          <a:ext cx="3915038" cy="3034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zoomScale="150" workbookViewId="0">
      <selection activeCell="B11" sqref="B11"/>
    </sheetView>
  </sheetViews>
  <sheetFormatPr baseColWidth="10" defaultColWidth="8.83203125" defaultRowHeight="15" x14ac:dyDescent="0.2"/>
  <cols>
    <col min="15" max="15" width="19.5" customWidth="1"/>
  </cols>
  <sheetData>
    <row r="1" spans="2:16" x14ac:dyDescent="0.2">
      <c r="B1" s="8"/>
      <c r="D1" s="44" t="s">
        <v>0</v>
      </c>
      <c r="E1" s="45"/>
      <c r="F1" s="45"/>
      <c r="G1" s="46"/>
    </row>
    <row r="2" spans="2:16" x14ac:dyDescent="0.2">
      <c r="B2" s="29" t="s">
        <v>1</v>
      </c>
    </row>
    <row r="4" spans="2:16" x14ac:dyDescent="0.2">
      <c r="B4" s="1" t="s">
        <v>2</v>
      </c>
      <c r="N4" s="5" t="s">
        <v>3</v>
      </c>
      <c r="O4" s="5"/>
      <c r="P4" s="5"/>
    </row>
    <row r="5" spans="2:16" x14ac:dyDescent="0.2">
      <c r="B5" s="1" t="s">
        <v>4</v>
      </c>
      <c r="N5" s="26" t="s">
        <v>5</v>
      </c>
      <c r="O5" s="26"/>
      <c r="P5" s="26"/>
    </row>
    <row r="6" spans="2:16" x14ac:dyDescent="0.2">
      <c r="B6" s="1" t="s">
        <v>6</v>
      </c>
      <c r="N6" s="21"/>
      <c r="O6" s="21" t="s">
        <v>7</v>
      </c>
      <c r="P6" s="21" t="s">
        <v>8</v>
      </c>
    </row>
    <row r="7" spans="2:16" x14ac:dyDescent="0.2">
      <c r="B7" s="1"/>
      <c r="C7" s="1"/>
      <c r="D7" s="1"/>
      <c r="E7" s="1"/>
      <c r="N7" s="21" t="s">
        <v>9</v>
      </c>
      <c r="O7" s="21" t="s">
        <v>74</v>
      </c>
      <c r="P7" s="21">
        <v>234</v>
      </c>
    </row>
    <row r="8" spans="2:16" x14ac:dyDescent="0.2">
      <c r="B8" s="1"/>
      <c r="C8" s="1"/>
      <c r="D8" s="1"/>
      <c r="E8" s="1"/>
      <c r="N8" s="21" t="s">
        <v>10</v>
      </c>
      <c r="O8" s="21" t="s">
        <v>75</v>
      </c>
      <c r="P8" s="21">
        <v>234</v>
      </c>
    </row>
    <row r="9" spans="2:16" x14ac:dyDescent="0.2">
      <c r="B9" t="s">
        <v>78</v>
      </c>
      <c r="C9" s="1"/>
      <c r="D9" s="1"/>
      <c r="E9" s="1"/>
      <c r="N9" s="21" t="s">
        <v>11</v>
      </c>
      <c r="O9" s="21" t="s">
        <v>76</v>
      </c>
      <c r="P9" s="21">
        <v>234</v>
      </c>
    </row>
    <row r="10" spans="2:16" x14ac:dyDescent="0.2">
      <c r="B10" t="s">
        <v>73</v>
      </c>
      <c r="C10" s="1"/>
      <c r="D10" s="1"/>
      <c r="E10" s="1"/>
    </row>
    <row r="11" spans="2:16" x14ac:dyDescent="0.2">
      <c r="B11" s="30" t="s">
        <v>77</v>
      </c>
      <c r="C11" s="1"/>
      <c r="D11" s="1"/>
      <c r="E11" s="1"/>
    </row>
    <row r="12" spans="2:16" x14ac:dyDescent="0.2">
      <c r="C12" s="1"/>
      <c r="D12" s="1"/>
      <c r="E12" s="1"/>
    </row>
    <row r="19" spans="2:2" x14ac:dyDescent="0.2">
      <c r="B19" s="1"/>
    </row>
    <row r="20" spans="2:2" x14ac:dyDescent="0.2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6"/>
  <sheetViews>
    <sheetView topLeftCell="A5" zoomScale="133" zoomScaleNormal="90" workbookViewId="0">
      <selection activeCell="R18" sqref="R18:T18"/>
    </sheetView>
  </sheetViews>
  <sheetFormatPr baseColWidth="10" defaultColWidth="8.83203125" defaultRowHeight="15" x14ac:dyDescent="0.2"/>
  <cols>
    <col min="2" max="2" width="9.6640625" bestFit="1" customWidth="1"/>
    <col min="5" max="5" width="15.6640625" customWidth="1"/>
    <col min="17" max="17" width="10.5" customWidth="1"/>
    <col min="20" max="20" width="20" customWidth="1"/>
  </cols>
  <sheetData>
    <row r="1" spans="2:20" x14ac:dyDescent="0.2">
      <c r="B1" s="8"/>
      <c r="D1" s="44" t="s">
        <v>0</v>
      </c>
      <c r="E1" s="45"/>
      <c r="F1" s="45"/>
      <c r="G1" s="45"/>
      <c r="H1" s="45"/>
      <c r="I1" s="46"/>
    </row>
    <row r="3" spans="2:20" x14ac:dyDescent="0.2">
      <c r="B3" s="53" t="s">
        <v>77</v>
      </c>
      <c r="C3" s="54"/>
      <c r="D3" s="54"/>
      <c r="E3" s="54"/>
      <c r="F3" s="54"/>
      <c r="G3" s="54"/>
      <c r="H3" s="54"/>
      <c r="I3" s="54"/>
      <c r="J3" s="54"/>
      <c r="K3" s="55"/>
    </row>
    <row r="6" spans="2:20" x14ac:dyDescent="0.2">
      <c r="B6" s="44" t="s">
        <v>12</v>
      </c>
      <c r="C6" s="45"/>
      <c r="D6" s="45"/>
      <c r="E6" s="46"/>
      <c r="F6" s="22"/>
      <c r="G6" s="22"/>
      <c r="I6" s="44" t="s">
        <v>13</v>
      </c>
      <c r="J6" s="45"/>
      <c r="K6" s="45"/>
      <c r="L6" s="45"/>
      <c r="M6" s="45"/>
      <c r="N6" s="45"/>
      <c r="O6" s="45"/>
      <c r="Q6" s="44" t="s">
        <v>14</v>
      </c>
      <c r="R6" s="45"/>
      <c r="S6" s="45"/>
      <c r="T6" s="45"/>
    </row>
    <row r="8" spans="2:20" x14ac:dyDescent="0.2">
      <c r="B8" s="23" t="s">
        <v>15</v>
      </c>
      <c r="C8" s="65" t="s">
        <v>16</v>
      </c>
      <c r="D8" s="65"/>
      <c r="E8" s="65"/>
      <c r="F8" s="24"/>
      <c r="G8" s="24"/>
      <c r="I8" s="8" t="s">
        <v>17</v>
      </c>
      <c r="Q8" s="49" t="s">
        <v>18</v>
      </c>
      <c r="R8" s="49"/>
      <c r="S8" s="49"/>
      <c r="T8" s="25">
        <v>5</v>
      </c>
    </row>
    <row r="9" spans="2:20" x14ac:dyDescent="0.2">
      <c r="B9" s="26" t="s">
        <v>79</v>
      </c>
      <c r="C9" s="48" t="s">
        <v>110</v>
      </c>
      <c r="D9" s="48"/>
      <c r="E9" s="48"/>
      <c r="F9" s="27"/>
      <c r="G9" s="27"/>
      <c r="I9" s="28"/>
      <c r="Q9" s="49" t="s">
        <v>20</v>
      </c>
      <c r="R9" s="49"/>
      <c r="S9" s="49"/>
      <c r="T9" s="25">
        <v>5</v>
      </c>
    </row>
    <row r="10" spans="2:20" x14ac:dyDescent="0.2">
      <c r="B10" s="26" t="s">
        <v>80</v>
      </c>
      <c r="C10" s="48" t="s">
        <v>111</v>
      </c>
      <c r="D10" s="48"/>
      <c r="E10" s="48"/>
      <c r="F10" s="27"/>
      <c r="G10" s="27"/>
      <c r="I10" s="56"/>
      <c r="J10" s="57"/>
      <c r="K10" s="57"/>
      <c r="L10" s="57"/>
      <c r="M10" s="57"/>
      <c r="N10" s="57"/>
      <c r="O10" s="58"/>
      <c r="Q10" s="49" t="s">
        <v>21</v>
      </c>
      <c r="R10" s="49" t="s">
        <v>22</v>
      </c>
      <c r="S10" s="49"/>
      <c r="T10" s="25">
        <f>5</f>
        <v>5</v>
      </c>
    </row>
    <row r="11" spans="2:20" x14ac:dyDescent="0.2">
      <c r="B11" s="26" t="s">
        <v>81</v>
      </c>
      <c r="C11" s="48" t="s">
        <v>112</v>
      </c>
      <c r="D11" s="48"/>
      <c r="E11" s="48"/>
      <c r="F11" s="27"/>
      <c r="G11" s="27"/>
      <c r="I11" s="59"/>
      <c r="J11" s="60"/>
      <c r="K11" s="60"/>
      <c r="L11" s="60"/>
      <c r="M11" s="60"/>
      <c r="N11" s="60"/>
      <c r="O11" s="61"/>
    </row>
    <row r="12" spans="2:20" x14ac:dyDescent="0.2">
      <c r="B12" s="26" t="s">
        <v>82</v>
      </c>
      <c r="C12" s="48" t="s">
        <v>113</v>
      </c>
      <c r="D12" s="48"/>
      <c r="E12" s="48"/>
      <c r="F12" s="27"/>
      <c r="G12" s="27"/>
      <c r="I12" s="59"/>
      <c r="J12" s="60"/>
      <c r="K12" s="60"/>
      <c r="L12" s="60"/>
      <c r="M12" s="60"/>
      <c r="N12" s="60"/>
      <c r="O12" s="61"/>
    </row>
    <row r="13" spans="2:20" x14ac:dyDescent="0.2">
      <c r="B13" s="26" t="s">
        <v>83</v>
      </c>
      <c r="C13" s="50" t="s">
        <v>114</v>
      </c>
      <c r="D13" s="50"/>
      <c r="E13" s="50"/>
      <c r="F13" s="27"/>
      <c r="G13" s="27"/>
      <c r="I13" s="59"/>
      <c r="J13" s="60"/>
      <c r="K13" s="60"/>
      <c r="L13" s="60"/>
      <c r="M13" s="60"/>
      <c r="N13" s="60"/>
      <c r="O13" s="61"/>
      <c r="Q13" s="44" t="s">
        <v>25</v>
      </c>
      <c r="R13" s="45"/>
      <c r="S13" s="45"/>
      <c r="T13" s="45"/>
    </row>
    <row r="14" spans="2:20" x14ac:dyDescent="0.2">
      <c r="B14" s="26" t="s">
        <v>85</v>
      </c>
      <c r="C14" s="52" t="s">
        <v>115</v>
      </c>
      <c r="D14" s="52"/>
      <c r="E14" s="52"/>
      <c r="F14" s="27"/>
      <c r="G14" s="27"/>
      <c r="I14" s="59"/>
      <c r="J14" s="60"/>
      <c r="K14" s="60"/>
      <c r="L14" s="60"/>
      <c r="M14" s="60"/>
      <c r="N14" s="60"/>
      <c r="O14" s="61"/>
      <c r="Q14" s="22"/>
      <c r="R14" s="22"/>
      <c r="S14" s="22"/>
      <c r="T14" s="22"/>
    </row>
    <row r="15" spans="2:20" x14ac:dyDescent="0.2">
      <c r="B15" s="26" t="s">
        <v>84</v>
      </c>
      <c r="C15" s="51" t="s">
        <v>116</v>
      </c>
      <c r="D15" s="51"/>
      <c r="E15" s="51"/>
      <c r="F15" s="27"/>
      <c r="G15" s="27"/>
      <c r="I15" s="59"/>
      <c r="J15" s="60"/>
      <c r="K15" s="60"/>
      <c r="L15" s="60"/>
      <c r="M15" s="60"/>
      <c r="N15" s="60"/>
      <c r="O15" s="61"/>
    </row>
    <row r="16" spans="2:20" x14ac:dyDescent="0.2">
      <c r="B16" s="26" t="s">
        <v>86</v>
      </c>
      <c r="C16" s="51" t="s">
        <v>117</v>
      </c>
      <c r="D16" s="51"/>
      <c r="E16" s="51"/>
      <c r="F16" s="27"/>
      <c r="G16" s="27"/>
      <c r="I16" s="59"/>
      <c r="J16" s="60"/>
      <c r="K16" s="60"/>
      <c r="L16" s="60"/>
      <c r="M16" s="60"/>
      <c r="N16" s="60"/>
      <c r="O16" s="61"/>
    </row>
    <row r="17" spans="2:20" x14ac:dyDescent="0.2">
      <c r="B17" s="26" t="s">
        <v>118</v>
      </c>
      <c r="C17" t="s">
        <v>120</v>
      </c>
      <c r="I17" s="59"/>
      <c r="J17" s="60"/>
      <c r="K17" s="60"/>
      <c r="L17" s="60"/>
      <c r="M17" s="60"/>
      <c r="N17" s="60"/>
      <c r="O17" s="61"/>
      <c r="Q17" s="23" t="s">
        <v>26</v>
      </c>
      <c r="R17" s="65" t="s">
        <v>27</v>
      </c>
      <c r="S17" s="65"/>
      <c r="T17" s="65"/>
    </row>
    <row r="18" spans="2:20" x14ac:dyDescent="0.2">
      <c r="B18" s="26" t="s">
        <v>119</v>
      </c>
      <c r="C18" t="s">
        <v>121</v>
      </c>
      <c r="I18" s="59"/>
      <c r="J18" s="60"/>
      <c r="K18" s="60"/>
      <c r="L18" s="60"/>
      <c r="M18" s="60"/>
      <c r="N18" s="60"/>
      <c r="O18" s="61"/>
      <c r="Q18" s="26" t="s">
        <v>28</v>
      </c>
      <c r="R18" s="47" t="s">
        <v>122</v>
      </c>
      <c r="S18" s="47"/>
      <c r="T18" s="47"/>
    </row>
    <row r="19" spans="2:20" x14ac:dyDescent="0.2">
      <c r="I19" s="59"/>
      <c r="J19" s="60"/>
      <c r="K19" s="60"/>
      <c r="L19" s="60"/>
      <c r="M19" s="60"/>
      <c r="N19" s="60"/>
      <c r="O19" s="61"/>
      <c r="Q19" s="26" t="s">
        <v>29</v>
      </c>
      <c r="R19" s="47" t="s">
        <v>123</v>
      </c>
      <c r="S19" s="47"/>
      <c r="T19" s="47"/>
    </row>
    <row r="20" spans="2:20" x14ac:dyDescent="0.2">
      <c r="I20" s="59"/>
      <c r="J20" s="60"/>
      <c r="K20" s="60"/>
      <c r="L20" s="60"/>
      <c r="M20" s="60"/>
      <c r="N20" s="60"/>
      <c r="O20" s="61"/>
      <c r="Q20" s="26" t="s">
        <v>30</v>
      </c>
      <c r="R20" s="47" t="s">
        <v>124</v>
      </c>
      <c r="S20" s="47"/>
      <c r="T20" s="47"/>
    </row>
    <row r="21" spans="2:20" x14ac:dyDescent="0.2">
      <c r="I21" s="59"/>
      <c r="J21" s="60"/>
      <c r="K21" s="60"/>
      <c r="L21" s="60"/>
      <c r="M21" s="60"/>
      <c r="N21" s="60"/>
      <c r="O21" s="61"/>
      <c r="Q21" s="26" t="s">
        <v>87</v>
      </c>
      <c r="R21" s="47" t="s">
        <v>125</v>
      </c>
      <c r="S21" s="47"/>
      <c r="T21" s="47"/>
    </row>
    <row r="22" spans="2:20" x14ac:dyDescent="0.2">
      <c r="I22" s="59"/>
      <c r="J22" s="60"/>
      <c r="K22" s="60"/>
      <c r="L22" s="60"/>
      <c r="M22" s="60"/>
      <c r="N22" s="60"/>
      <c r="O22" s="61"/>
      <c r="Q22" s="26" t="s">
        <v>24</v>
      </c>
      <c r="R22" s="47" t="s">
        <v>19</v>
      </c>
      <c r="S22" s="47"/>
      <c r="T22" s="47"/>
    </row>
    <row r="23" spans="2:20" x14ac:dyDescent="0.2">
      <c r="I23" s="59"/>
      <c r="J23" s="60"/>
      <c r="K23" s="60"/>
      <c r="L23" s="60"/>
      <c r="M23" s="60"/>
      <c r="N23" s="60"/>
      <c r="O23" s="61"/>
      <c r="Q23" s="26" t="s">
        <v>23</v>
      </c>
      <c r="R23" s="47" t="s">
        <v>19</v>
      </c>
      <c r="S23" s="47"/>
      <c r="T23" s="47"/>
    </row>
    <row r="24" spans="2:20" x14ac:dyDescent="0.2">
      <c r="I24" s="59"/>
      <c r="J24" s="60"/>
      <c r="K24" s="60"/>
      <c r="L24" s="60"/>
      <c r="M24" s="60"/>
      <c r="N24" s="60"/>
      <c r="O24" s="61"/>
    </row>
    <row r="25" spans="2:20" x14ac:dyDescent="0.2">
      <c r="I25" s="59"/>
      <c r="J25" s="60"/>
      <c r="K25" s="60"/>
      <c r="L25" s="60"/>
      <c r="M25" s="60"/>
      <c r="N25" s="60"/>
      <c r="O25" s="61"/>
    </row>
    <row r="26" spans="2:20" x14ac:dyDescent="0.2">
      <c r="I26" s="62"/>
      <c r="J26" s="63"/>
      <c r="K26" s="63"/>
      <c r="L26" s="63"/>
      <c r="M26" s="63"/>
      <c r="N26" s="63"/>
      <c r="O26" s="64"/>
    </row>
  </sheetData>
  <mergeCells count="26">
    <mergeCell ref="D1:I1"/>
    <mergeCell ref="R22:T22"/>
    <mergeCell ref="R23:T23"/>
    <mergeCell ref="B3:K3"/>
    <mergeCell ref="C10:E10"/>
    <mergeCell ref="I10:O26"/>
    <mergeCell ref="Q10:S10"/>
    <mergeCell ref="C11:E11"/>
    <mergeCell ref="R17:T17"/>
    <mergeCell ref="C8:E8"/>
    <mergeCell ref="Q8:S8"/>
    <mergeCell ref="B6:E6"/>
    <mergeCell ref="I6:O6"/>
    <mergeCell ref="Q6:T6"/>
    <mergeCell ref="R19:T19"/>
    <mergeCell ref="R21:T21"/>
    <mergeCell ref="R20:T20"/>
    <mergeCell ref="C9:E9"/>
    <mergeCell ref="Q9:S9"/>
    <mergeCell ref="R18:T18"/>
    <mergeCell ref="C12:E12"/>
    <mergeCell ref="C13:E13"/>
    <mergeCell ref="Q13:T13"/>
    <mergeCell ref="C15:E15"/>
    <mergeCell ref="C14:E14"/>
    <mergeCell ref="C16:E16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V16"/>
  <sheetViews>
    <sheetView zoomScale="113" workbookViewId="0">
      <selection activeCell="G13" sqref="G13"/>
    </sheetView>
  </sheetViews>
  <sheetFormatPr baseColWidth="10" defaultColWidth="8.83203125" defaultRowHeight="15" x14ac:dyDescent="0.2"/>
  <cols>
    <col min="2" max="2" width="12.33203125" customWidth="1"/>
    <col min="3" max="3" width="18.1640625" bestFit="1" customWidth="1"/>
    <col min="4" max="4" width="30.33203125" customWidth="1"/>
    <col min="5" max="5" width="19.83203125" bestFit="1" customWidth="1"/>
    <col min="6" max="6" width="8.1640625" customWidth="1"/>
    <col min="7" max="7" width="11.5" bestFit="1" customWidth="1"/>
    <col min="8" max="8" width="17.33203125" customWidth="1"/>
    <col min="9" max="9" width="9.33203125" customWidth="1"/>
    <col min="10" max="10" width="26.33203125" customWidth="1"/>
    <col min="11" max="11" width="6.1640625" customWidth="1"/>
    <col min="12" max="13" width="8.83203125" customWidth="1"/>
    <col min="16" max="18" width="2.1640625" bestFit="1" customWidth="1"/>
    <col min="19" max="19" width="3.5" bestFit="1" customWidth="1"/>
    <col min="20" max="20" width="2.1640625" bestFit="1" customWidth="1"/>
    <col min="21" max="21" width="4.1640625" bestFit="1" customWidth="1"/>
    <col min="22" max="22" width="5.1640625" bestFit="1" customWidth="1"/>
  </cols>
  <sheetData>
    <row r="1" spans="2:22" x14ac:dyDescent="0.2">
      <c r="B1" s="8"/>
      <c r="D1" s="44" t="s">
        <v>0</v>
      </c>
      <c r="E1" s="45"/>
      <c r="F1" s="45"/>
      <c r="G1" s="46"/>
    </row>
    <row r="3" spans="2:22" x14ac:dyDescent="0.2">
      <c r="B3" s="53" t="s">
        <v>77</v>
      </c>
      <c r="C3" s="54"/>
      <c r="D3" s="54"/>
      <c r="E3" s="54"/>
      <c r="F3" s="55"/>
    </row>
    <row r="5" spans="2:22" x14ac:dyDescent="0.2">
      <c r="B5" s="7"/>
    </row>
    <row r="6" spans="2:22" ht="16" x14ac:dyDescent="0.2">
      <c r="B6" s="72" t="s">
        <v>31</v>
      </c>
      <c r="C6" s="72" t="s">
        <v>32</v>
      </c>
      <c r="D6" s="73" t="s">
        <v>33</v>
      </c>
      <c r="E6" s="72" t="s">
        <v>34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</row>
    <row r="7" spans="2:22" ht="16" x14ac:dyDescent="0.2">
      <c r="B7" s="72"/>
      <c r="C7" s="72"/>
      <c r="D7" s="74"/>
      <c r="E7" s="68" t="s">
        <v>35</v>
      </c>
      <c r="F7" s="69" t="s">
        <v>36</v>
      </c>
      <c r="G7" s="69"/>
      <c r="H7" s="69"/>
      <c r="I7" s="69"/>
      <c r="J7" s="69"/>
      <c r="K7" s="69"/>
      <c r="L7" s="70" t="s">
        <v>37</v>
      </c>
      <c r="M7" s="70"/>
      <c r="N7" s="70"/>
      <c r="O7" s="70"/>
      <c r="P7" s="71" t="s">
        <v>38</v>
      </c>
      <c r="Q7" s="71"/>
      <c r="R7" s="71"/>
      <c r="S7" s="71"/>
      <c r="T7" s="71"/>
      <c r="U7" s="71"/>
      <c r="V7" s="71"/>
    </row>
    <row r="8" spans="2:22" ht="15.5" customHeight="1" x14ac:dyDescent="0.2">
      <c r="B8" s="72"/>
      <c r="C8" s="66" t="s">
        <v>88</v>
      </c>
      <c r="D8" s="66" t="s">
        <v>89</v>
      </c>
      <c r="E8" s="68"/>
      <c r="F8" s="69" t="s">
        <v>100</v>
      </c>
      <c r="G8" s="69"/>
      <c r="H8" s="69" t="s">
        <v>101</v>
      </c>
      <c r="I8" s="69"/>
      <c r="J8" s="69" t="s">
        <v>102</v>
      </c>
      <c r="K8" s="69"/>
      <c r="L8" s="70" t="s">
        <v>28</v>
      </c>
      <c r="M8" s="70" t="s">
        <v>29</v>
      </c>
      <c r="N8" s="70" t="s">
        <v>30</v>
      </c>
      <c r="O8" s="70" t="s">
        <v>87</v>
      </c>
      <c r="P8" s="71">
        <v>0</v>
      </c>
      <c r="Q8" s="71">
        <v>1</v>
      </c>
      <c r="R8" s="71">
        <v>2</v>
      </c>
      <c r="S8" s="71" t="s">
        <v>39</v>
      </c>
      <c r="T8" s="71" t="s">
        <v>40</v>
      </c>
      <c r="U8" s="71" t="s">
        <v>41</v>
      </c>
      <c r="V8" s="71" t="s">
        <v>42</v>
      </c>
    </row>
    <row r="9" spans="2:22" ht="17" x14ac:dyDescent="0.2">
      <c r="B9" s="72"/>
      <c r="C9" s="67"/>
      <c r="D9" s="67"/>
      <c r="E9" s="68"/>
      <c r="F9" s="9" t="s">
        <v>43</v>
      </c>
      <c r="G9" s="9" t="s">
        <v>44</v>
      </c>
      <c r="H9" s="9" t="s">
        <v>43</v>
      </c>
      <c r="I9" s="9" t="s">
        <v>44</v>
      </c>
      <c r="J9" s="9" t="s">
        <v>43</v>
      </c>
      <c r="K9" s="9" t="s">
        <v>44</v>
      </c>
      <c r="L9" s="70"/>
      <c r="M9" s="70"/>
      <c r="N9" s="70"/>
      <c r="O9" s="70"/>
      <c r="P9" s="71"/>
      <c r="Q9" s="71"/>
      <c r="R9" s="71"/>
      <c r="S9" s="71"/>
      <c r="T9" s="71"/>
      <c r="U9" s="71"/>
      <c r="V9" s="71"/>
    </row>
    <row r="10" spans="2:22" ht="34" x14ac:dyDescent="0.2">
      <c r="B10" s="10" t="s">
        <v>45</v>
      </c>
      <c r="C10" s="10" t="s">
        <v>90</v>
      </c>
      <c r="D10" s="11" t="s">
        <v>96</v>
      </c>
      <c r="E10" s="12" t="s">
        <v>122</v>
      </c>
      <c r="F10" s="13"/>
      <c r="G10" s="13" t="s">
        <v>44</v>
      </c>
      <c r="H10" s="13"/>
      <c r="I10" s="13" t="s">
        <v>44</v>
      </c>
      <c r="J10" s="13"/>
      <c r="K10" s="13" t="s">
        <v>44</v>
      </c>
      <c r="L10" s="14" t="s">
        <v>103</v>
      </c>
      <c r="M10" s="14"/>
      <c r="N10" s="14"/>
      <c r="O10" s="14"/>
      <c r="P10" s="15"/>
      <c r="Q10" s="15"/>
      <c r="R10" s="15" t="s">
        <v>103</v>
      </c>
      <c r="S10" s="15"/>
      <c r="T10" s="15"/>
      <c r="U10" s="15"/>
      <c r="V10" s="15"/>
    </row>
    <row r="11" spans="2:22" ht="34" x14ac:dyDescent="0.2">
      <c r="B11" s="10" t="s">
        <v>55</v>
      </c>
      <c r="C11" s="31" t="s">
        <v>91</v>
      </c>
      <c r="D11" s="32" t="s">
        <v>97</v>
      </c>
      <c r="E11" s="12" t="s">
        <v>123</v>
      </c>
      <c r="F11" s="13" t="s">
        <v>43</v>
      </c>
      <c r="G11" s="13"/>
      <c r="H11" s="13"/>
      <c r="I11" s="13" t="s">
        <v>44</v>
      </c>
      <c r="J11" s="13" t="s">
        <v>43</v>
      </c>
      <c r="K11" s="13"/>
      <c r="L11" s="14"/>
      <c r="M11" s="14" t="s">
        <v>103</v>
      </c>
      <c r="N11" s="14"/>
      <c r="O11" s="14"/>
      <c r="P11" s="15"/>
      <c r="Q11" s="15"/>
      <c r="R11" s="15" t="s">
        <v>103</v>
      </c>
      <c r="S11" s="15"/>
      <c r="T11" s="15"/>
      <c r="U11" s="15"/>
      <c r="V11" s="15"/>
    </row>
    <row r="12" spans="2:22" ht="34" x14ac:dyDescent="0.2">
      <c r="B12" s="10" t="s">
        <v>94</v>
      </c>
      <c r="C12" s="16" t="s">
        <v>92</v>
      </c>
      <c r="D12" s="17" t="s">
        <v>98</v>
      </c>
      <c r="E12" s="12" t="s">
        <v>124</v>
      </c>
      <c r="F12" s="13"/>
      <c r="G12" s="13" t="s">
        <v>44</v>
      </c>
      <c r="H12" s="13" t="s">
        <v>43</v>
      </c>
      <c r="I12" s="13"/>
      <c r="J12" s="13" t="s">
        <v>43</v>
      </c>
      <c r="K12" s="13"/>
      <c r="L12" s="14"/>
      <c r="M12" s="14"/>
      <c r="N12" s="14" t="s">
        <v>103</v>
      </c>
      <c r="O12" s="14"/>
      <c r="P12" s="15"/>
      <c r="Q12" s="15"/>
      <c r="R12" s="15" t="s">
        <v>103</v>
      </c>
      <c r="S12" s="15"/>
      <c r="T12" s="15"/>
      <c r="U12" s="15"/>
      <c r="V12" s="15"/>
    </row>
    <row r="13" spans="2:22" ht="34" x14ac:dyDescent="0.2">
      <c r="B13" s="10" t="s">
        <v>95</v>
      </c>
      <c r="C13" s="31" t="s">
        <v>93</v>
      </c>
      <c r="D13" s="32" t="s">
        <v>99</v>
      </c>
      <c r="E13" s="12" t="s">
        <v>125</v>
      </c>
      <c r="F13" s="13" t="s">
        <v>43</v>
      </c>
      <c r="G13" s="13"/>
      <c r="H13" s="13" t="s">
        <v>43</v>
      </c>
      <c r="I13" s="13"/>
      <c r="J13" s="13" t="s">
        <v>43</v>
      </c>
      <c r="K13" s="13"/>
      <c r="L13" s="14"/>
      <c r="M13" s="14"/>
      <c r="N13" s="14"/>
      <c r="O13" s="14" t="s">
        <v>103</v>
      </c>
      <c r="P13" s="15"/>
      <c r="Q13" s="15"/>
      <c r="R13" s="15" t="s">
        <v>103</v>
      </c>
      <c r="S13" s="15"/>
      <c r="T13" s="15"/>
      <c r="U13" s="15"/>
      <c r="V13" s="15"/>
    </row>
    <row r="14" spans="2:22" ht="17" x14ac:dyDescent="0.2">
      <c r="B14" s="10" t="s">
        <v>19</v>
      </c>
      <c r="C14" s="10"/>
      <c r="D14" s="11"/>
      <c r="E14" s="12"/>
      <c r="F14" s="13"/>
      <c r="G14" s="13"/>
      <c r="H14" s="13"/>
      <c r="I14" s="13"/>
      <c r="J14" s="13"/>
      <c r="K14" s="13"/>
      <c r="L14" s="14"/>
      <c r="M14" s="14"/>
      <c r="N14" s="14"/>
      <c r="O14" s="14"/>
      <c r="P14" s="15"/>
      <c r="Q14" s="15"/>
      <c r="R14" s="15"/>
      <c r="S14" s="15"/>
      <c r="T14" s="15"/>
      <c r="U14" s="15"/>
      <c r="V14" s="15"/>
    </row>
    <row r="15" spans="2:22" ht="17" x14ac:dyDescent="0.2">
      <c r="B15" s="10" t="s">
        <v>19</v>
      </c>
      <c r="C15" s="10"/>
      <c r="D15" s="11"/>
      <c r="E15" s="12"/>
      <c r="F15" s="13"/>
      <c r="G15" s="13"/>
      <c r="H15" s="13"/>
      <c r="I15" s="13"/>
      <c r="J15" s="13"/>
      <c r="K15" s="13"/>
      <c r="L15" s="14"/>
      <c r="M15" s="14"/>
      <c r="N15" s="14"/>
      <c r="O15" s="14"/>
      <c r="P15" s="15"/>
      <c r="Q15" s="15"/>
      <c r="R15" s="15"/>
      <c r="S15" s="15"/>
      <c r="T15" s="15"/>
      <c r="U15" s="15"/>
      <c r="V15" s="15"/>
    </row>
    <row r="16" spans="2:22" ht="16" x14ac:dyDescent="0.2">
      <c r="B16" s="18"/>
    </row>
  </sheetData>
  <mergeCells count="26">
    <mergeCell ref="D1:G1"/>
    <mergeCell ref="B3:F3"/>
    <mergeCell ref="B6:B9"/>
    <mergeCell ref="C6:C7"/>
    <mergeCell ref="D6:D7"/>
    <mergeCell ref="E6:V6"/>
    <mergeCell ref="T8:T9"/>
    <mergeCell ref="U8:U9"/>
    <mergeCell ref="D8:D9"/>
    <mergeCell ref="F8:G8"/>
    <mergeCell ref="Q8:Q9"/>
    <mergeCell ref="R8:R9"/>
    <mergeCell ref="S8:S9"/>
    <mergeCell ref="P7:V7"/>
    <mergeCell ref="V8:V9"/>
    <mergeCell ref="H8:I8"/>
    <mergeCell ref="P8:P9"/>
    <mergeCell ref="L8:L9"/>
    <mergeCell ref="M8:M9"/>
    <mergeCell ref="N8:N9"/>
    <mergeCell ref="O8:O9"/>
    <mergeCell ref="C8:C9"/>
    <mergeCell ref="E7:E9"/>
    <mergeCell ref="F7:K7"/>
    <mergeCell ref="L7:O7"/>
    <mergeCell ref="J8:K8"/>
  </mergeCells>
  <phoneticPr fontId="1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tabSelected="1" zoomScale="91" workbookViewId="0">
      <selection activeCell="B16" sqref="B16"/>
    </sheetView>
  </sheetViews>
  <sheetFormatPr baseColWidth="10" defaultColWidth="8.83203125" defaultRowHeight="15" x14ac:dyDescent="0.2"/>
  <cols>
    <col min="2" max="2" width="14.83203125" customWidth="1"/>
    <col min="3" max="3" width="13.83203125" customWidth="1"/>
    <col min="4" max="4" width="18.83203125" customWidth="1"/>
    <col min="5" max="6" width="16.1640625" customWidth="1"/>
    <col min="7" max="7" width="55.33203125" customWidth="1"/>
    <col min="8" max="8" width="58.33203125" customWidth="1"/>
    <col min="10" max="10" width="7.1640625" bestFit="1" customWidth="1"/>
    <col min="11" max="11" width="10.1640625" bestFit="1" customWidth="1"/>
    <col min="12" max="12" width="10.1640625" customWidth="1"/>
    <col min="13" max="13" width="16.1640625" bestFit="1" customWidth="1"/>
    <col min="15" max="15" width="12.33203125" customWidth="1"/>
  </cols>
  <sheetData>
    <row r="1" spans="2:14" x14ac:dyDescent="0.2">
      <c r="B1" s="8"/>
      <c r="D1" s="44" t="s">
        <v>0</v>
      </c>
      <c r="E1" s="45"/>
      <c r="F1" s="45"/>
      <c r="G1" s="46"/>
    </row>
    <row r="3" spans="2:14" x14ac:dyDescent="0.2">
      <c r="B3" s="109" t="s">
        <v>46</v>
      </c>
      <c r="C3" s="110"/>
      <c r="D3" s="110"/>
      <c r="E3" s="110"/>
      <c r="F3" s="110"/>
      <c r="G3" s="110"/>
      <c r="H3" s="111"/>
    </row>
    <row r="4" spans="2:14" x14ac:dyDescent="0.2">
      <c r="B4" s="99" t="s">
        <v>47</v>
      </c>
      <c r="C4" s="89" t="s">
        <v>48</v>
      </c>
      <c r="D4" s="104" t="s">
        <v>49</v>
      </c>
      <c r="E4" s="106" t="s">
        <v>50</v>
      </c>
      <c r="F4" s="107"/>
      <c r="G4" s="108" t="s">
        <v>51</v>
      </c>
      <c r="H4" s="107"/>
    </row>
    <row r="5" spans="2:14" ht="16" thickBot="1" x14ac:dyDescent="0.25">
      <c r="B5" s="100"/>
      <c r="C5" s="103"/>
      <c r="D5" s="105"/>
      <c r="E5" s="2" t="s">
        <v>104</v>
      </c>
      <c r="F5" s="2" t="s">
        <v>105</v>
      </c>
      <c r="G5" s="2" t="s">
        <v>52</v>
      </c>
      <c r="H5" s="2" t="s">
        <v>53</v>
      </c>
    </row>
    <row r="6" spans="2:14" ht="16" thickTop="1" x14ac:dyDescent="0.2">
      <c r="B6" s="19">
        <v>9</v>
      </c>
      <c r="C6" s="101" t="s">
        <v>54</v>
      </c>
      <c r="D6" s="4" t="s">
        <v>45</v>
      </c>
      <c r="E6" s="34">
        <v>1</v>
      </c>
      <c r="F6" s="34">
        <v>5</v>
      </c>
      <c r="G6" s="34" t="s">
        <v>96</v>
      </c>
      <c r="H6" s="19" t="s">
        <v>96</v>
      </c>
    </row>
    <row r="7" spans="2:14" x14ac:dyDescent="0.2">
      <c r="B7" s="19">
        <v>10</v>
      </c>
      <c r="C7" s="101"/>
      <c r="D7" s="4" t="s">
        <v>55</v>
      </c>
      <c r="E7" s="19">
        <v>0</v>
      </c>
      <c r="F7" s="19">
        <v>2</v>
      </c>
      <c r="G7" s="19" t="s">
        <v>106</v>
      </c>
      <c r="H7" s="19" t="s">
        <v>106</v>
      </c>
    </row>
    <row r="8" spans="2:14" x14ac:dyDescent="0.2">
      <c r="B8" s="19">
        <v>11</v>
      </c>
      <c r="C8" s="101"/>
      <c r="D8" s="33" t="s">
        <v>94</v>
      </c>
      <c r="E8" s="19">
        <v>2</v>
      </c>
      <c r="F8" s="19">
        <v>-1</v>
      </c>
      <c r="G8" s="19" t="s">
        <v>107</v>
      </c>
      <c r="H8" s="19" t="s">
        <v>107</v>
      </c>
    </row>
    <row r="9" spans="2:14" x14ac:dyDescent="0.2">
      <c r="B9" s="19">
        <v>12</v>
      </c>
      <c r="C9" s="101"/>
      <c r="D9" s="33" t="s">
        <v>95</v>
      </c>
      <c r="E9" s="19">
        <v>-3</v>
      </c>
      <c r="F9" s="19">
        <v>0</v>
      </c>
      <c r="G9" s="19" t="s">
        <v>108</v>
      </c>
      <c r="H9" s="19" t="s">
        <v>108</v>
      </c>
    </row>
    <row r="10" spans="2:14" ht="16" thickBot="1" x14ac:dyDescent="0.25">
      <c r="B10" s="2">
        <v>13</v>
      </c>
      <c r="C10" s="102"/>
      <c r="D10" s="6" t="s">
        <v>19</v>
      </c>
      <c r="E10" s="2" t="s">
        <v>19</v>
      </c>
      <c r="F10" s="2" t="s">
        <v>19</v>
      </c>
      <c r="G10" s="2" t="s">
        <v>19</v>
      </c>
      <c r="H10" s="2" t="s">
        <v>19</v>
      </c>
    </row>
    <row r="11" spans="2:14" ht="16" thickTop="1" x14ac:dyDescent="0.2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6" thickBot="1" x14ac:dyDescent="0.25">
      <c r="B12" s="3" t="s">
        <v>56</v>
      </c>
      <c r="K12" s="20"/>
    </row>
    <row r="13" spans="2:14" ht="17" thickTop="1" thickBot="1" x14ac:dyDescent="0.25">
      <c r="B13" s="94" t="s">
        <v>57</v>
      </c>
      <c r="C13" s="95"/>
      <c r="D13" s="95"/>
      <c r="E13" s="95"/>
      <c r="F13" s="96" t="s">
        <v>58</v>
      </c>
      <c r="G13" s="97"/>
      <c r="H13" s="94" t="s">
        <v>59</v>
      </c>
      <c r="I13" s="95"/>
      <c r="J13" s="95"/>
      <c r="K13" s="95"/>
      <c r="L13" s="98"/>
      <c r="M13" s="79" t="s">
        <v>60</v>
      </c>
      <c r="N13" s="80"/>
    </row>
    <row r="14" spans="2:14" ht="16" thickTop="1" x14ac:dyDescent="0.2">
      <c r="B14" s="78" t="s">
        <v>61</v>
      </c>
      <c r="C14" s="82" t="s">
        <v>62</v>
      </c>
      <c r="D14" s="82" t="s">
        <v>63</v>
      </c>
      <c r="E14" s="84" t="s">
        <v>64</v>
      </c>
      <c r="F14" s="86" t="s">
        <v>65</v>
      </c>
      <c r="G14" s="88" t="s">
        <v>66</v>
      </c>
      <c r="H14" s="90" t="s">
        <v>67</v>
      </c>
      <c r="I14" s="82" t="s">
        <v>61</v>
      </c>
      <c r="J14" s="82" t="s">
        <v>62</v>
      </c>
      <c r="K14" s="92" t="s">
        <v>68</v>
      </c>
      <c r="L14" s="75" t="s">
        <v>69</v>
      </c>
      <c r="M14" s="77" t="s">
        <v>70</v>
      </c>
      <c r="N14" s="89" t="s">
        <v>71</v>
      </c>
    </row>
    <row r="15" spans="2:14" x14ac:dyDescent="0.2">
      <c r="B15" s="81"/>
      <c r="C15" s="83"/>
      <c r="D15" s="83"/>
      <c r="E15" s="85"/>
      <c r="F15" s="87"/>
      <c r="G15" s="88"/>
      <c r="H15" s="91"/>
      <c r="I15" s="83"/>
      <c r="J15" s="83"/>
      <c r="K15" s="93"/>
      <c r="L15" s="76"/>
      <c r="M15" s="78"/>
      <c r="N15" s="86"/>
    </row>
    <row r="16" spans="2:14" x14ac:dyDescent="0.2">
      <c r="B16" s="21">
        <f>SUM(C16:D16)</f>
        <v>4</v>
      </c>
      <c r="C16" s="38">
        <v>4</v>
      </c>
      <c r="D16" s="38">
        <v>0</v>
      </c>
      <c r="E16" s="39">
        <v>100</v>
      </c>
      <c r="F16" s="40">
        <v>0</v>
      </c>
      <c r="G16" s="37">
        <v>0</v>
      </c>
      <c r="H16" s="36">
        <v>0</v>
      </c>
      <c r="I16" s="21">
        <v>4</v>
      </c>
      <c r="J16" s="38">
        <v>4</v>
      </c>
      <c r="K16" s="41">
        <v>0</v>
      </c>
      <c r="L16" s="42">
        <v>100</v>
      </c>
      <c r="M16" s="35" t="s">
        <v>72</v>
      </c>
      <c r="N16" s="43" t="s">
        <v>109</v>
      </c>
    </row>
  </sheetData>
  <mergeCells count="25">
    <mergeCell ref="H13:L13"/>
    <mergeCell ref="D1:G1"/>
    <mergeCell ref="B4:B5"/>
    <mergeCell ref="C6:C10"/>
    <mergeCell ref="C4:C5"/>
    <mergeCell ref="D4:D5"/>
    <mergeCell ref="E4:F4"/>
    <mergeCell ref="G4:H4"/>
    <mergeCell ref="B3:H3"/>
    <mergeCell ref="L14:L15"/>
    <mergeCell ref="M14:M15"/>
    <mergeCell ref="M13:N13"/>
    <mergeCell ref="B14:B15"/>
    <mergeCell ref="C14:C15"/>
    <mergeCell ref="D14:D15"/>
    <mergeCell ref="E14:E15"/>
    <mergeCell ref="F14:F15"/>
    <mergeCell ref="G14:G15"/>
    <mergeCell ref="N14:N15"/>
    <mergeCell ref="H14:H15"/>
    <mergeCell ref="I14:I15"/>
    <mergeCell ref="K14:K15"/>
    <mergeCell ref="J14:J15"/>
    <mergeCell ref="B13:E13"/>
    <mergeCell ref="F13:G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customXml/itemProps2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2026-04-22T08:19:00Z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